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hine\Downloads\"/>
    </mc:Choice>
  </mc:AlternateContent>
  <xr:revisionPtr revIDLastSave="0" documentId="13_ncr:1_{EFFCCA95-A9DC-4F50-AD4A-D097B46AC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 Notes" sheetId="1" r:id="rId1"/>
    <sheet name="B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8" i="1"/>
  <c r="B7" i="1"/>
  <c r="B5" i="1"/>
  <c r="B4" i="1"/>
  <c r="B6" i="1" s="1"/>
  <c r="B10" i="1" s="1"/>
</calcChain>
</file>

<file path=xl/sharedStrings.xml><?xml version="1.0" encoding="utf-8"?>
<sst xmlns="http://schemas.openxmlformats.org/spreadsheetml/2006/main" count="171" uniqueCount="119">
  <si>
    <t>BioMed-RAGS Cost Summary and Notes</t>
  </si>
  <si>
    <t>Cost scope</t>
  </si>
  <si>
    <t>Amount (USD)</t>
  </si>
  <si>
    <t>Definition</t>
  </si>
  <si>
    <t>Automation hardware</t>
  </si>
  <si>
    <t>Robot, rail, controllers, and two rotation stages</t>
  </si>
  <si>
    <t>Other core components</t>
  </si>
  <si>
    <t>Structure, detector, interfaces, and fabricated parts</t>
  </si>
  <si>
    <t>Core system total</t>
  </si>
  <si>
    <t>Automation hardware + other core components</t>
  </si>
  <si>
    <t>Shared lab instruments</t>
  </si>
  <si>
    <t>Laser and launch-power measurement equipment</t>
  </si>
  <si>
    <t>Optional equipment</t>
  </si>
  <si>
    <t>Environmental monitoring</t>
  </si>
  <si>
    <t>Full listed system</t>
  </si>
  <si>
    <t>Guidance</t>
  </si>
  <si>
    <t>Details</t>
  </si>
  <si>
    <t>Displayed total</t>
  </si>
  <si>
    <t>The full-system total represents the demonstrated configuration, not a minimum build cost. The new automation hardware is approximately $2,200.</t>
  </si>
  <si>
    <t>Commonly reusable</t>
  </si>
  <si>
    <t>Many optics and engineering laboratories may already have a calibrated spectrometer, optical breadboard, laser source, optical posts and mounts, power meter or integrating sphere, controller boards, and access to a 3D printer.</t>
  </si>
  <si>
    <t>Compatible alternatives</t>
  </si>
  <si>
    <t>Users may select lower-cost robots, rails, rotation stages, controllers, frames, mounts, and compatible optical components according to the required travel range, load, precision, and measurement geometry.</t>
  </si>
  <si>
    <t>Calibration requirement</t>
  </si>
  <si>
    <t>Any substitute detector, fiber probe, or cosine corrector should be calibrated and verified for spectral range, sensitivity, angular response, and measurement geometry.</t>
  </si>
  <si>
    <t>BioMed-RAGS Bill of Materials</t>
  </si>
  <si>
    <t>Cost note</t>
  </si>
  <si>
    <t>Illustrative demonstrated configuration; approximate 2025-2026 costs in USD. Reuse and compatible alternatives can reduce the actual build cost.</t>
  </si>
  <si>
    <t>ID</t>
  </si>
  <si>
    <t>Category</t>
  </si>
  <si>
    <t>Component</t>
  </si>
  <si>
    <t>Manufacturer / Brand</t>
  </si>
  <si>
    <t>Model / Part No.</t>
  </si>
  <si>
    <t>Purpose / Key Note</t>
  </si>
  <si>
    <t>Qty</t>
  </si>
  <si>
    <t>Unit Cost (USD)</t>
  </si>
  <si>
    <t>Total Cost (USD)</t>
  </si>
  <si>
    <t>Cost Class</t>
  </si>
  <si>
    <t>Motion and control</t>
  </si>
  <si>
    <t>Desktop robotic arm</t>
  </si>
  <si>
    <t>Rotrics</t>
  </si>
  <si>
    <t>DexArm</t>
  </si>
  <si>
    <t>Four-axis detector positioning</t>
  </si>
  <si>
    <t>Linear rail extension</t>
  </si>
  <si>
    <t>Linear Rail 1000 mm</t>
  </si>
  <si>
    <t>Extends robot travel to 1000 mm</t>
  </si>
  <si>
    <t>Single-board computer</t>
  </si>
  <si>
    <t>Raspberry Pi Foundation</t>
  </si>
  <si>
    <t>Raspberry Pi 4B (4 GB)</t>
  </si>
  <si>
    <t>Runs the Python control software</t>
  </si>
  <si>
    <t>Microcontroller</t>
  </si>
  <si>
    <t>Arduino</t>
  </si>
  <si>
    <t>Uno Rev3</t>
  </si>
  <si>
    <t>One controller per rotation stage</t>
  </si>
  <si>
    <t>Proximal rotation stage</t>
  </si>
  <si>
    <t>DIY / generic</t>
  </si>
  <si>
    <t>NEMA 11 stepper + driver</t>
  </si>
  <si>
    <t>Motorized rotation at the laser-coupling end</t>
  </si>
  <si>
    <t>Distal rotation stage</t>
  </si>
  <si>
    <t>Motorized rotation at the fiber-support end</t>
  </si>
  <si>
    <t>Structure and mounting</t>
  </si>
  <si>
    <t>Aluminium extrusion frame</t>
  </si>
  <si>
    <t>Generic</t>
  </si>
  <si>
    <t>30-series extrusion</t>
  </si>
  <si>
    <t>Rigid base frame; cut to CAD dimensions</t>
  </si>
  <si>
    <t>Optical breadboard</t>
  </si>
  <si>
    <t>Thorlabs / equivalent</t>
  </si>
  <si>
    <t>900 x 450 mm; M6, 25.4 mm grid</t>
  </si>
  <si>
    <t>Mounting platform for the system</t>
  </si>
  <si>
    <t>Proximal stage post</t>
  </si>
  <si>
    <t>Thorlabs</t>
  </si>
  <si>
    <t>RA90 / TR-series</t>
  </si>
  <si>
    <t>Sets the proximal stage at the fiber-axis height</t>
  </si>
  <si>
    <t>Distal stage post</t>
  </si>
  <si>
    <t>Sets the distal stage at the fiber-axis height</t>
  </si>
  <si>
    <t>Optical detection</t>
  </si>
  <si>
    <t>Spectrometer</t>
  </si>
  <si>
    <t>Ocean Insight</t>
  </si>
  <si>
    <t>FLAME-T-UV-VIS-ES</t>
  </si>
  <si>
    <t>Radiometrically calibrated spectral detection, 200-850 nm</t>
  </si>
  <si>
    <t>Optical fiber probe</t>
  </si>
  <si>
    <t>QP400-2-SR-BX</t>
  </si>
  <si>
    <t>Connects the cosine corrector to the spectrometer</t>
  </si>
  <si>
    <t>Cosine corrector</t>
  </si>
  <si>
    <t>CC-3-UV-S</t>
  </si>
  <si>
    <t>Irradiance collection with cosine response</t>
  </si>
  <si>
    <t>Probe bracket</t>
  </si>
  <si>
    <t>In-house / 3D printed</t>
  </si>
  <si>
    <t>probe_bracket.stl</t>
  </si>
  <si>
    <t>Fixes the cosine corrector to the robot end effector</t>
  </si>
  <si>
    <t>Shared excitation equipment</t>
  </si>
  <si>
    <t>CW diode laser, 405 nm</t>
  </si>
  <si>
    <t>BWT Beijing / equivalent</t>
  </si>
  <si>
    <t>BWB-405-8000m</t>
  </si>
  <si>
    <t>Fiber excitation source; shared laboratory instrument</t>
  </si>
  <si>
    <t>Power meter console</t>
  </si>
  <si>
    <t>PM400</t>
  </si>
  <si>
    <t>Launch-power verification; shared laboratory instrument</t>
  </si>
  <si>
    <t>Integrating sphere sensor head</t>
  </si>
  <si>
    <t>S142C</t>
  </si>
  <si>
    <t>Used with the PM400; shared laboratory instrument</t>
  </si>
  <si>
    <t>Fiber interface</t>
  </si>
  <si>
    <t>FC-to-SMA adapter</t>
  </si>
  <si>
    <t>ADAFCSMA1</t>
  </si>
  <si>
    <t>Couples the laser pigtail to the test fiber</t>
  </si>
  <si>
    <t>Fiber clamp</t>
  </si>
  <si>
    <t>SM1F1-250</t>
  </si>
  <si>
    <t>Secures the distal end of the test fiber</t>
  </si>
  <si>
    <t>Environmental sensor</t>
  </si>
  <si>
    <t>Corant GmbH (air-Q)</t>
  </si>
  <si>
    <t>air-Q Pro</t>
  </si>
  <si>
    <t>Optional temperature and humidity logging</t>
  </si>
  <si>
    <t>Fabricated parts</t>
  </si>
  <si>
    <t>Proximal stage adapter disc</t>
  </si>
  <si>
    <t>fiber_disc_proximal.stl</t>
  </si>
  <si>
    <t>Centers the ADAFCSMA1 adapter on the rotation axis</t>
  </si>
  <si>
    <t>Holder clips and cable guides</t>
  </si>
  <si>
    <t>Various</t>
  </si>
  <si>
    <t>Small mounting and cable-management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</si>
</sst>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name val="Carlito"/>
    </font>
    <font>
      <sz val="10"/>
      <name val="Arial"/>
    </font>
    <font>
      <b/>
      <sz val="14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10" workbookViewId="0">
      <selection activeCell="C14" sqref="C14"/>
    </sheetView>
  </sheetViews>
  <sheetFormatPr defaultRowHeight="13.8"/>
  <cols>
    <col min="1" max="1" width="25" customWidth="1"/>
    <col min="2" max="2" width="18" customWidth="1"/>
    <col min="3" max="3" width="82" customWidth="1"/>
  </cols>
  <sheetData>
    <row r="1" spans="1:3" ht="17.399999999999999">
      <c r="A1" s="20" t="s">
        <v>0</v>
      </c>
      <c r="B1" s="20"/>
      <c r="C1" s="20"/>
    </row>
    <row r="2" spans="1:3">
      <c r="A2" s="1"/>
      <c r="B2" s="1"/>
      <c r="C2" s="1"/>
    </row>
    <row r="3" spans="1:3">
      <c r="A3" s="2" t="s">
        <v>1</v>
      </c>
      <c r="B3" s="2" t="s">
        <v>2</v>
      </c>
      <c r="C3" s="2" t="s">
        <v>3</v>
      </c>
    </row>
    <row r="4" spans="1:3">
      <c r="A4" s="1" t="s">
        <v>4</v>
      </c>
      <c r="B4" s="16">
        <f>SUMIF(BOM!$J$5:$J$26,A4,BOM!$I$5:$I$26)</f>
        <v>2215</v>
      </c>
      <c r="C4" s="1" t="s">
        <v>5</v>
      </c>
    </row>
    <row r="5" spans="1:3">
      <c r="A5" s="1" t="s">
        <v>6</v>
      </c>
      <c r="B5" s="16">
        <f>SUMIF(BOM!$J$5:$J$26,A5,BOM!$I$5:$I$26)</f>
        <v>8697</v>
      </c>
      <c r="C5" s="1" t="s">
        <v>7</v>
      </c>
    </row>
    <row r="6" spans="1:3">
      <c r="A6" s="21" t="s">
        <v>8</v>
      </c>
      <c r="B6" s="22">
        <f>SUM(B4:B5)</f>
        <v>10912</v>
      </c>
      <c r="C6" s="21" t="s">
        <v>9</v>
      </c>
    </row>
    <row r="7" spans="1:3">
      <c r="A7" s="1" t="s">
        <v>10</v>
      </c>
      <c r="B7" s="16">
        <f>SUMIF(BOM!$J$5:$J$26,A7,BOM!$I$5:$I$26)</f>
        <v>4480</v>
      </c>
      <c r="C7" s="1" t="s">
        <v>11</v>
      </c>
    </row>
    <row r="8" spans="1:3">
      <c r="A8" s="1" t="s">
        <v>12</v>
      </c>
      <c r="B8" s="16">
        <f>SUMIF(BOM!$J$5:$J$26,A8,BOM!$I$5:$I$26)</f>
        <v>400</v>
      </c>
      <c r="C8" s="1" t="s">
        <v>13</v>
      </c>
    </row>
    <row r="9" spans="1:3">
      <c r="A9" s="1"/>
      <c r="B9" s="16"/>
      <c r="C9" s="1"/>
    </row>
    <row r="10" spans="1:3">
      <c r="A10" s="3" t="s">
        <v>14</v>
      </c>
      <c r="B10" s="17">
        <f>SUM(B6:B8)</f>
        <v>15792</v>
      </c>
      <c r="C10" s="1"/>
    </row>
    <row r="11" spans="1:3">
      <c r="A11" s="1"/>
      <c r="B11" s="1"/>
      <c r="C11" s="1"/>
    </row>
    <row r="12" spans="1:3">
      <c r="A12" s="2" t="s">
        <v>15</v>
      </c>
      <c r="B12" s="2"/>
      <c r="C12" s="2" t="s">
        <v>16</v>
      </c>
    </row>
    <row r="13" spans="1:3" ht="43.95" customHeight="1">
      <c r="A13" s="4" t="s">
        <v>17</v>
      </c>
      <c r="B13" s="4"/>
      <c r="C13" s="4" t="s">
        <v>18</v>
      </c>
    </row>
    <row r="14" spans="1:3" ht="43.95" customHeight="1">
      <c r="A14" s="4" t="s">
        <v>19</v>
      </c>
      <c r="B14" s="4"/>
      <c r="C14" s="4" t="s">
        <v>20</v>
      </c>
    </row>
    <row r="15" spans="1:3" ht="43.95" customHeight="1">
      <c r="A15" s="4" t="s">
        <v>21</v>
      </c>
      <c r="B15" s="4"/>
      <c r="C15" s="4" t="s">
        <v>22</v>
      </c>
    </row>
    <row r="16" spans="1:3" ht="43.95" customHeight="1">
      <c r="A16" s="4" t="s">
        <v>23</v>
      </c>
      <c r="B16" s="4"/>
      <c r="C16" s="4" t="s">
        <v>24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A14" sqref="A14:XFD14"/>
    </sheetView>
  </sheetViews>
  <sheetFormatPr defaultRowHeight="13.8"/>
  <cols>
    <col min="1" max="1" width="13.296875" customWidth="1"/>
    <col min="2" max="2" width="22" customWidth="1"/>
    <col min="3" max="3" width="27" customWidth="1"/>
    <col min="4" max="5" width="24" customWidth="1"/>
    <col min="6" max="6" width="43" customWidth="1"/>
    <col min="7" max="7" width="7" customWidth="1"/>
    <col min="8" max="9" width="16" customWidth="1"/>
    <col min="10" max="10" width="22" customWidth="1"/>
  </cols>
  <sheetData>
    <row r="1" spans="1:10" ht="17.399999999999999">
      <c r="A1" s="5" t="s">
        <v>25</v>
      </c>
      <c r="B1" s="6"/>
      <c r="C1" s="6"/>
      <c r="D1" s="6"/>
      <c r="E1" s="6"/>
      <c r="F1" s="6"/>
      <c r="G1" s="6"/>
      <c r="H1" s="6"/>
      <c r="I1" s="6"/>
      <c r="J1" s="6"/>
    </row>
    <row r="2" spans="1:10" ht="30" customHeight="1">
      <c r="A2" s="7" t="s">
        <v>26</v>
      </c>
      <c r="B2" s="18" t="s">
        <v>27</v>
      </c>
      <c r="C2" s="19"/>
      <c r="D2" s="19"/>
      <c r="E2" s="19"/>
      <c r="F2" s="19"/>
      <c r="G2" s="19"/>
      <c r="H2" s="19"/>
      <c r="I2" s="19"/>
      <c r="J2" s="19"/>
    </row>
    <row r="3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30" customHeight="1">
      <c r="A4" s="10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10" t="s">
        <v>34</v>
      </c>
      <c r="H4" s="9" t="s">
        <v>35</v>
      </c>
      <c r="I4" s="9" t="s">
        <v>36</v>
      </c>
      <c r="J4" s="9" t="s">
        <v>37</v>
      </c>
    </row>
    <row r="5" spans="1:10">
      <c r="A5" s="11">
        <v>1</v>
      </c>
      <c r="B5" s="8" t="s">
        <v>38</v>
      </c>
      <c r="C5" s="8" t="s">
        <v>39</v>
      </c>
      <c r="D5" s="8" t="s">
        <v>40</v>
      </c>
      <c r="E5" s="8" t="s">
        <v>41</v>
      </c>
      <c r="F5" s="8" t="s">
        <v>42</v>
      </c>
      <c r="G5" s="12">
        <v>1</v>
      </c>
      <c r="H5" s="13">
        <v>1100</v>
      </c>
      <c r="I5" s="13">
        <f t="shared" ref="I5:I26" si="0">G5*H5</f>
        <v>1100</v>
      </c>
      <c r="J5" s="8" t="s">
        <v>4</v>
      </c>
    </row>
    <row r="6" spans="1:10">
      <c r="A6" s="11">
        <v>2</v>
      </c>
      <c r="B6" s="8" t="s">
        <v>38</v>
      </c>
      <c r="C6" s="8" t="s">
        <v>43</v>
      </c>
      <c r="D6" s="8" t="s">
        <v>40</v>
      </c>
      <c r="E6" s="8" t="s">
        <v>44</v>
      </c>
      <c r="F6" s="8" t="s">
        <v>45</v>
      </c>
      <c r="G6" s="12">
        <v>1</v>
      </c>
      <c r="H6" s="13">
        <v>900</v>
      </c>
      <c r="I6" s="13">
        <f t="shared" si="0"/>
        <v>900</v>
      </c>
      <c r="J6" s="8" t="s">
        <v>4</v>
      </c>
    </row>
    <row r="7" spans="1:10">
      <c r="A7" s="11">
        <v>3</v>
      </c>
      <c r="B7" s="8" t="s">
        <v>38</v>
      </c>
      <c r="C7" s="8" t="s">
        <v>46</v>
      </c>
      <c r="D7" s="8" t="s">
        <v>47</v>
      </c>
      <c r="E7" s="8" t="s">
        <v>48</v>
      </c>
      <c r="F7" s="8" t="s">
        <v>49</v>
      </c>
      <c r="G7" s="12">
        <v>1</v>
      </c>
      <c r="H7" s="13">
        <v>75</v>
      </c>
      <c r="I7" s="13">
        <f t="shared" si="0"/>
        <v>75</v>
      </c>
      <c r="J7" s="8" t="s">
        <v>4</v>
      </c>
    </row>
    <row r="8" spans="1:10">
      <c r="A8" s="11">
        <v>4</v>
      </c>
      <c r="B8" s="8" t="s">
        <v>38</v>
      </c>
      <c r="C8" s="8" t="s">
        <v>50</v>
      </c>
      <c r="D8" s="8" t="s">
        <v>51</v>
      </c>
      <c r="E8" s="8" t="s">
        <v>52</v>
      </c>
      <c r="F8" s="8" t="s">
        <v>53</v>
      </c>
      <c r="G8" s="12">
        <v>2</v>
      </c>
      <c r="H8" s="13">
        <v>25</v>
      </c>
      <c r="I8" s="13">
        <f t="shared" si="0"/>
        <v>50</v>
      </c>
      <c r="J8" s="8" t="s">
        <v>4</v>
      </c>
    </row>
    <row r="9" spans="1:10">
      <c r="A9" s="11">
        <v>5</v>
      </c>
      <c r="B9" s="8" t="s">
        <v>38</v>
      </c>
      <c r="C9" s="8" t="s">
        <v>54</v>
      </c>
      <c r="D9" s="8" t="s">
        <v>55</v>
      </c>
      <c r="E9" s="8" t="s">
        <v>56</v>
      </c>
      <c r="F9" s="8" t="s">
        <v>57</v>
      </c>
      <c r="G9" s="12">
        <v>1</v>
      </c>
      <c r="H9" s="13">
        <v>45</v>
      </c>
      <c r="I9" s="13">
        <f t="shared" si="0"/>
        <v>45</v>
      </c>
      <c r="J9" s="8" t="s">
        <v>4</v>
      </c>
    </row>
    <row r="10" spans="1:10">
      <c r="A10" s="11">
        <v>6</v>
      </c>
      <c r="B10" s="8" t="s">
        <v>38</v>
      </c>
      <c r="C10" s="8" t="s">
        <v>58</v>
      </c>
      <c r="D10" s="8" t="s">
        <v>55</v>
      </c>
      <c r="E10" s="8" t="s">
        <v>56</v>
      </c>
      <c r="F10" s="8" t="s">
        <v>59</v>
      </c>
      <c r="G10" s="12">
        <v>1</v>
      </c>
      <c r="H10" s="13">
        <v>45</v>
      </c>
      <c r="I10" s="13">
        <f t="shared" si="0"/>
        <v>45</v>
      </c>
      <c r="J10" s="8" t="s">
        <v>4</v>
      </c>
    </row>
    <row r="11" spans="1:10">
      <c r="A11" s="11">
        <v>7</v>
      </c>
      <c r="B11" s="8" t="s">
        <v>60</v>
      </c>
      <c r="C11" s="8" t="s">
        <v>61</v>
      </c>
      <c r="D11" s="8" t="s">
        <v>62</v>
      </c>
      <c r="E11" s="8" t="s">
        <v>63</v>
      </c>
      <c r="F11" s="8" t="s">
        <v>64</v>
      </c>
      <c r="G11" s="12">
        <v>1</v>
      </c>
      <c r="H11" s="13">
        <v>80</v>
      </c>
      <c r="I11" s="13">
        <f t="shared" si="0"/>
        <v>80</v>
      </c>
      <c r="J11" s="8" t="s">
        <v>6</v>
      </c>
    </row>
    <row r="12" spans="1:10" ht="26.4">
      <c r="A12" s="11">
        <v>8</v>
      </c>
      <c r="B12" s="8" t="s">
        <v>60</v>
      </c>
      <c r="C12" s="8" t="s">
        <v>65</v>
      </c>
      <c r="D12" s="8" t="s">
        <v>66</v>
      </c>
      <c r="E12" s="8" t="s">
        <v>67</v>
      </c>
      <c r="F12" s="8" t="s">
        <v>68</v>
      </c>
      <c r="G12" s="12">
        <v>1</v>
      </c>
      <c r="H12" s="13">
        <v>630</v>
      </c>
      <c r="I12" s="13">
        <f t="shared" si="0"/>
        <v>630</v>
      </c>
      <c r="J12" s="8" t="s">
        <v>6</v>
      </c>
    </row>
    <row r="13" spans="1:10">
      <c r="A13" s="11">
        <v>9</v>
      </c>
      <c r="B13" s="8" t="s">
        <v>60</v>
      </c>
      <c r="C13" s="8" t="s">
        <v>69</v>
      </c>
      <c r="D13" s="8" t="s">
        <v>70</v>
      </c>
      <c r="E13" s="8" t="s">
        <v>71</v>
      </c>
      <c r="F13" s="8" t="s">
        <v>72</v>
      </c>
      <c r="G13" s="12">
        <v>1</v>
      </c>
      <c r="H13" s="13">
        <v>30</v>
      </c>
      <c r="I13" s="13">
        <f t="shared" si="0"/>
        <v>30</v>
      </c>
      <c r="J13" s="8" t="s">
        <v>6</v>
      </c>
    </row>
    <row r="14" spans="1:10">
      <c r="A14" s="11">
        <v>10</v>
      </c>
      <c r="B14" s="8" t="s">
        <v>60</v>
      </c>
      <c r="C14" s="8" t="s">
        <v>73</v>
      </c>
      <c r="D14" s="8" t="s">
        <v>70</v>
      </c>
      <c r="E14" s="8" t="s">
        <v>71</v>
      </c>
      <c r="F14" s="8" t="s">
        <v>74</v>
      </c>
      <c r="G14" s="12">
        <v>1</v>
      </c>
      <c r="H14" s="13">
        <v>30</v>
      </c>
      <c r="I14" s="13">
        <f t="shared" si="0"/>
        <v>30</v>
      </c>
      <c r="J14" s="8" t="s">
        <v>6</v>
      </c>
    </row>
    <row r="15" spans="1:10" ht="26.4">
      <c r="A15" s="11">
        <v>11</v>
      </c>
      <c r="B15" s="8" t="s">
        <v>75</v>
      </c>
      <c r="C15" s="8" t="s">
        <v>76</v>
      </c>
      <c r="D15" s="8" t="s">
        <v>77</v>
      </c>
      <c r="E15" s="8" t="s">
        <v>78</v>
      </c>
      <c r="F15" s="8" t="s">
        <v>79</v>
      </c>
      <c r="G15" s="12">
        <v>1</v>
      </c>
      <c r="H15" s="13">
        <v>7300</v>
      </c>
      <c r="I15" s="13">
        <f t="shared" si="0"/>
        <v>7300</v>
      </c>
      <c r="J15" s="8" t="s">
        <v>6</v>
      </c>
    </row>
    <row r="16" spans="1:10">
      <c r="A16" s="11">
        <v>12</v>
      </c>
      <c r="B16" s="8" t="s">
        <v>75</v>
      </c>
      <c r="C16" s="8" t="s">
        <v>80</v>
      </c>
      <c r="D16" s="8" t="s">
        <v>77</v>
      </c>
      <c r="E16" s="8" t="s">
        <v>81</v>
      </c>
      <c r="F16" s="8" t="s">
        <v>82</v>
      </c>
      <c r="G16" s="12">
        <v>1</v>
      </c>
      <c r="H16" s="13">
        <v>280</v>
      </c>
      <c r="I16" s="13">
        <f t="shared" si="0"/>
        <v>280</v>
      </c>
      <c r="J16" s="8" t="s">
        <v>6</v>
      </c>
    </row>
    <row r="17" spans="1:10">
      <c r="A17" s="11">
        <v>13</v>
      </c>
      <c r="B17" s="8" t="s">
        <v>75</v>
      </c>
      <c r="C17" s="8" t="s">
        <v>83</v>
      </c>
      <c r="D17" s="8" t="s">
        <v>77</v>
      </c>
      <c r="E17" s="8" t="s">
        <v>84</v>
      </c>
      <c r="F17" s="8" t="s">
        <v>85</v>
      </c>
      <c r="G17" s="12">
        <v>1</v>
      </c>
      <c r="H17" s="13">
        <v>245</v>
      </c>
      <c r="I17" s="13">
        <f t="shared" si="0"/>
        <v>245</v>
      </c>
      <c r="J17" s="8" t="s">
        <v>6</v>
      </c>
    </row>
    <row r="18" spans="1:10">
      <c r="A18" s="11">
        <v>14</v>
      </c>
      <c r="B18" s="8" t="s">
        <v>75</v>
      </c>
      <c r="C18" s="8" t="s">
        <v>86</v>
      </c>
      <c r="D18" s="8" t="s">
        <v>87</v>
      </c>
      <c r="E18" s="8" t="s">
        <v>88</v>
      </c>
      <c r="F18" s="8" t="s">
        <v>89</v>
      </c>
      <c r="G18" s="12">
        <v>1</v>
      </c>
      <c r="H18" s="13">
        <v>5</v>
      </c>
      <c r="I18" s="13">
        <f t="shared" si="0"/>
        <v>5</v>
      </c>
      <c r="J18" s="8" t="s">
        <v>6</v>
      </c>
    </row>
    <row r="19" spans="1:10">
      <c r="A19" s="11">
        <v>15</v>
      </c>
      <c r="B19" s="8" t="s">
        <v>90</v>
      </c>
      <c r="C19" s="8" t="s">
        <v>91</v>
      </c>
      <c r="D19" s="8" t="s">
        <v>92</v>
      </c>
      <c r="E19" s="8" t="s">
        <v>93</v>
      </c>
      <c r="F19" s="8" t="s">
        <v>94</v>
      </c>
      <c r="G19" s="12">
        <v>1</v>
      </c>
      <c r="H19" s="13">
        <v>3000</v>
      </c>
      <c r="I19" s="13">
        <f t="shared" si="0"/>
        <v>3000</v>
      </c>
      <c r="J19" s="8" t="s">
        <v>10</v>
      </c>
    </row>
    <row r="20" spans="1:10">
      <c r="A20" s="11">
        <v>16</v>
      </c>
      <c r="B20" s="8" t="s">
        <v>90</v>
      </c>
      <c r="C20" s="8" t="s">
        <v>95</v>
      </c>
      <c r="D20" s="8" t="s">
        <v>70</v>
      </c>
      <c r="E20" s="8" t="s">
        <v>96</v>
      </c>
      <c r="F20" s="8" t="s">
        <v>97</v>
      </c>
      <c r="G20" s="12">
        <v>1</v>
      </c>
      <c r="H20" s="13">
        <v>1140</v>
      </c>
      <c r="I20" s="13">
        <f t="shared" si="0"/>
        <v>1140</v>
      </c>
      <c r="J20" s="8" t="s">
        <v>10</v>
      </c>
    </row>
    <row r="21" spans="1:10">
      <c r="A21" s="11">
        <v>17</v>
      </c>
      <c r="B21" s="8" t="s">
        <v>90</v>
      </c>
      <c r="C21" s="8" t="s">
        <v>98</v>
      </c>
      <c r="D21" s="8" t="s">
        <v>70</v>
      </c>
      <c r="E21" s="8" t="s">
        <v>99</v>
      </c>
      <c r="F21" s="8" t="s">
        <v>100</v>
      </c>
      <c r="G21" s="12">
        <v>1</v>
      </c>
      <c r="H21" s="13">
        <v>340</v>
      </c>
      <c r="I21" s="13">
        <f t="shared" si="0"/>
        <v>340</v>
      </c>
      <c r="J21" s="8" t="s">
        <v>10</v>
      </c>
    </row>
    <row r="22" spans="1:10">
      <c r="A22" s="11">
        <v>18</v>
      </c>
      <c r="B22" s="8" t="s">
        <v>101</v>
      </c>
      <c r="C22" s="8" t="s">
        <v>102</v>
      </c>
      <c r="D22" s="8" t="s">
        <v>66</v>
      </c>
      <c r="E22" s="8" t="s">
        <v>103</v>
      </c>
      <c r="F22" s="8" t="s">
        <v>104</v>
      </c>
      <c r="G22" s="12">
        <v>1</v>
      </c>
      <c r="H22" s="13">
        <v>35</v>
      </c>
      <c r="I22" s="13">
        <f t="shared" si="0"/>
        <v>35</v>
      </c>
      <c r="J22" s="8" t="s">
        <v>6</v>
      </c>
    </row>
    <row r="23" spans="1:10">
      <c r="A23" s="11">
        <v>19</v>
      </c>
      <c r="B23" s="8" t="s">
        <v>101</v>
      </c>
      <c r="C23" s="8" t="s">
        <v>105</v>
      </c>
      <c r="D23" s="8" t="s">
        <v>70</v>
      </c>
      <c r="E23" s="8" t="s">
        <v>106</v>
      </c>
      <c r="F23" s="8" t="s">
        <v>107</v>
      </c>
      <c r="G23" s="12">
        <v>1</v>
      </c>
      <c r="H23" s="13">
        <v>50</v>
      </c>
      <c r="I23" s="13">
        <f t="shared" si="0"/>
        <v>50</v>
      </c>
      <c r="J23" s="8" t="s">
        <v>6</v>
      </c>
    </row>
    <row r="24" spans="1:10">
      <c r="A24" s="11">
        <v>20</v>
      </c>
      <c r="B24" s="8" t="s">
        <v>13</v>
      </c>
      <c r="C24" s="8" t="s">
        <v>108</v>
      </c>
      <c r="D24" s="8" t="s">
        <v>109</v>
      </c>
      <c r="E24" s="8" t="s">
        <v>110</v>
      </c>
      <c r="F24" s="8" t="s">
        <v>111</v>
      </c>
      <c r="G24" s="12">
        <v>1</v>
      </c>
      <c r="H24" s="13">
        <v>400</v>
      </c>
      <c r="I24" s="13">
        <f t="shared" si="0"/>
        <v>400</v>
      </c>
      <c r="J24" s="8" t="s">
        <v>12</v>
      </c>
    </row>
    <row r="25" spans="1:10">
      <c r="A25" s="11">
        <v>21</v>
      </c>
      <c r="B25" s="8" t="s">
        <v>112</v>
      </c>
      <c r="C25" s="8" t="s">
        <v>113</v>
      </c>
      <c r="D25" s="8" t="s">
        <v>87</v>
      </c>
      <c r="E25" s="8" t="s">
        <v>114</v>
      </c>
      <c r="F25" s="8" t="s">
        <v>115</v>
      </c>
      <c r="G25" s="12">
        <v>1</v>
      </c>
      <c r="H25" s="13">
        <v>2</v>
      </c>
      <c r="I25" s="13">
        <f t="shared" si="0"/>
        <v>2</v>
      </c>
      <c r="J25" s="8" t="s">
        <v>6</v>
      </c>
    </row>
    <row r="26" spans="1:10">
      <c r="A26" s="11">
        <v>22</v>
      </c>
      <c r="B26" s="8" t="s">
        <v>112</v>
      </c>
      <c r="C26" s="8" t="s">
        <v>116</v>
      </c>
      <c r="D26" s="8" t="s">
        <v>87</v>
      </c>
      <c r="E26" s="8" t="s">
        <v>117</v>
      </c>
      <c r="F26" s="8" t="s">
        <v>118</v>
      </c>
      <c r="G26" s="12">
        <v>1</v>
      </c>
      <c r="H26" s="13">
        <v>10</v>
      </c>
      <c r="I26" s="13">
        <f t="shared" si="0"/>
        <v>10</v>
      </c>
      <c r="J26" s="8" t="s">
        <v>6</v>
      </c>
    </row>
    <row r="27" spans="1:10">
      <c r="A27" s="6"/>
      <c r="B27" s="6"/>
      <c r="C27" s="6"/>
      <c r="D27" s="6"/>
      <c r="E27" s="6"/>
      <c r="F27" s="6"/>
      <c r="G27" s="6"/>
      <c r="H27" s="14"/>
      <c r="I27" s="14"/>
      <c r="J27" s="6"/>
    </row>
    <row r="28" spans="1:10">
      <c r="A28" s="6"/>
      <c r="B28" s="6"/>
      <c r="C28" s="6"/>
      <c r="D28" s="6"/>
      <c r="E28" s="6"/>
      <c r="F28" s="6"/>
      <c r="G28" s="6"/>
      <c r="H28" s="15" t="s">
        <v>14</v>
      </c>
      <c r="I28" s="15">
        <f>SUM(I5:I26)</f>
        <v>15792</v>
      </c>
      <c r="J28" s="6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Notes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Dhinesh M</cp:lastModifiedBy>
  <dcterms:modified xsi:type="dcterms:W3CDTF">2026-08-07T13:45:47Z</dcterms:modified>
</cp:coreProperties>
</file>